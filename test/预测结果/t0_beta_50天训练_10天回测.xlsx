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测汇总" sheetId="1" state="visible" r:id="rId1"/>
    <sheet name="饭堂A-早餐" sheetId="2" state="visible" r:id="rId2"/>
    <sheet name="饭堂A-午餐" sheetId="3" state="visible" r:id="rId3"/>
    <sheet name="饭堂A-晚餐" sheetId="4" state="visible" r:id="rId4"/>
    <sheet name="饭堂A-宵夜" sheetId="5" state="visible" r:id="rId5"/>
    <sheet name="饭堂B-早餐" sheetId="6" state="visible" r:id="rId6"/>
    <sheet name="饭堂B-午餐" sheetId="7" state="visible" r:id="rId7"/>
    <sheet name="饭堂B-晚餐" sheetId="8" state="visible" r:id="rId8"/>
    <sheet name="饭堂B-宵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实际销量与预测销量</a:t>
            </a:r>
          </a:p>
        </rich>
      </tx>
    </title>
    <plotArea>
      <lineChart>
        <grouping val="standard"/>
        <ser>
          <idx val="0"/>
          <order val="0"/>
          <tx>
            <strRef>
              <f>'饭堂A-早餐'!B1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'饭堂A-早餐'!$A$2:$A$11</f>
            </numRef>
          </cat>
          <val>
            <numRef>
              <f>'饭堂A-早餐'!$B$2:$B$11</f>
            </numRef>
          </val>
        </ser>
        <ser>
          <idx val="1"/>
          <order val="1"/>
          <tx>
            <strRef>
              <f>'饭堂A-早餐'!C1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'饭堂A-早餐'!$A$2:$A$11</f>
            </numRef>
          </cat>
          <val>
            <numRef>
              <f>'饭堂A-早餐'!$C$2:$C$11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每日总销量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实际销量与预测销量</a:t>
            </a:r>
          </a:p>
        </rich>
      </tx>
    </title>
    <plotArea>
      <lineChart>
        <grouping val="standard"/>
        <ser>
          <idx val="0"/>
          <order val="0"/>
          <tx>
            <strRef>
              <f>'饭堂A-午餐'!B1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'饭堂A-午餐'!$A$2:$A$11</f>
            </numRef>
          </cat>
          <val>
            <numRef>
              <f>'饭堂A-午餐'!$B$2:$B$11</f>
            </numRef>
          </val>
        </ser>
        <ser>
          <idx val="1"/>
          <order val="1"/>
          <tx>
            <strRef>
              <f>'饭堂A-午餐'!C1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'饭堂A-午餐'!$A$2:$A$11</f>
            </numRef>
          </cat>
          <val>
            <numRef>
              <f>'饭堂A-午餐'!$C$2:$C$11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每日总销量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实际销量与预测销量</a:t>
            </a:r>
          </a:p>
        </rich>
      </tx>
    </title>
    <plotArea>
      <lineChart>
        <grouping val="standard"/>
        <ser>
          <idx val="0"/>
          <order val="0"/>
          <tx>
            <strRef>
              <f>'饭堂A-晚餐'!B1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'饭堂A-晚餐'!$A$2:$A$11</f>
            </numRef>
          </cat>
          <val>
            <numRef>
              <f>'饭堂A-晚餐'!$B$2:$B$11</f>
            </numRef>
          </val>
        </ser>
        <ser>
          <idx val="1"/>
          <order val="1"/>
          <tx>
            <strRef>
              <f>'饭堂A-晚餐'!C1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'饭堂A-晚餐'!$A$2:$A$11</f>
            </numRef>
          </cat>
          <val>
            <numRef>
              <f>'饭堂A-晚餐'!$C$2:$C$11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每日总销量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实际销量与预测销量</a:t>
            </a:r>
          </a:p>
        </rich>
      </tx>
    </title>
    <plotArea>
      <lineChart>
        <grouping val="standard"/>
        <ser>
          <idx val="0"/>
          <order val="0"/>
          <tx>
            <strRef>
              <f>'饭堂A-宵夜'!B1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'饭堂A-宵夜'!$A$2:$A$11</f>
            </numRef>
          </cat>
          <val>
            <numRef>
              <f>'饭堂A-宵夜'!$B$2:$B$11</f>
            </numRef>
          </val>
        </ser>
        <ser>
          <idx val="1"/>
          <order val="1"/>
          <tx>
            <strRef>
              <f>'饭堂A-宵夜'!C1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'饭堂A-宵夜'!$A$2:$A$11</f>
            </numRef>
          </cat>
          <val>
            <numRef>
              <f>'饭堂A-宵夜'!$C$2:$C$11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每日总销量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实际销量与预测销量</a:t>
            </a:r>
          </a:p>
        </rich>
      </tx>
    </title>
    <plotArea>
      <lineChart>
        <grouping val="standard"/>
        <ser>
          <idx val="0"/>
          <order val="0"/>
          <tx>
            <strRef>
              <f>'饭堂B-早餐'!B1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'饭堂B-早餐'!$A$2:$A$11</f>
            </numRef>
          </cat>
          <val>
            <numRef>
              <f>'饭堂B-早餐'!$B$2:$B$11</f>
            </numRef>
          </val>
        </ser>
        <ser>
          <idx val="1"/>
          <order val="1"/>
          <tx>
            <strRef>
              <f>'饭堂B-早餐'!C1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'饭堂B-早餐'!$A$2:$A$11</f>
            </numRef>
          </cat>
          <val>
            <numRef>
              <f>'饭堂B-早餐'!$C$2:$C$11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每日总销量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实际销量与预测销量</a:t>
            </a:r>
          </a:p>
        </rich>
      </tx>
    </title>
    <plotArea>
      <lineChart>
        <grouping val="standard"/>
        <ser>
          <idx val="0"/>
          <order val="0"/>
          <tx>
            <strRef>
              <f>'饭堂B-午餐'!B1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'饭堂B-午餐'!$A$2:$A$11</f>
            </numRef>
          </cat>
          <val>
            <numRef>
              <f>'饭堂B-午餐'!$B$2:$B$11</f>
            </numRef>
          </val>
        </ser>
        <ser>
          <idx val="1"/>
          <order val="1"/>
          <tx>
            <strRef>
              <f>'饭堂B-午餐'!C1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'饭堂B-午餐'!$A$2:$A$11</f>
            </numRef>
          </cat>
          <val>
            <numRef>
              <f>'饭堂B-午餐'!$C$2:$C$11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每日总销量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实际销量与预测销量</a:t>
            </a:r>
          </a:p>
        </rich>
      </tx>
    </title>
    <plotArea>
      <lineChart>
        <grouping val="standard"/>
        <ser>
          <idx val="0"/>
          <order val="0"/>
          <tx>
            <strRef>
              <f>'饭堂B-晚餐'!B1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'饭堂B-晚餐'!$A$2:$A$11</f>
            </numRef>
          </cat>
          <val>
            <numRef>
              <f>'饭堂B-晚餐'!$B$2:$B$11</f>
            </numRef>
          </val>
        </ser>
        <ser>
          <idx val="1"/>
          <order val="1"/>
          <tx>
            <strRef>
              <f>'饭堂B-晚餐'!C1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'饭堂B-晚餐'!$A$2:$A$11</f>
            </numRef>
          </cat>
          <val>
            <numRef>
              <f>'饭堂B-晚餐'!$C$2:$C$11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每日总销量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实际销量与预测销量</a:t>
            </a:r>
          </a:p>
        </rich>
      </tx>
    </title>
    <plotArea>
      <lineChart>
        <grouping val="standard"/>
        <ser>
          <idx val="0"/>
          <order val="0"/>
          <tx>
            <strRef>
              <f>'饭堂B-宵夜'!B1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'饭堂B-宵夜'!$A$2:$A$11</f>
            </numRef>
          </cat>
          <val>
            <numRef>
              <f>'饭堂B-宵夜'!$B$2:$B$11</f>
            </numRef>
          </val>
        </ser>
        <ser>
          <idx val="1"/>
          <order val="1"/>
          <tx>
            <strRef>
              <f>'饭堂B-宵夜'!C1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'饭堂B-宵夜'!$A$2:$A$11</f>
            </numRef>
          </cat>
          <val>
            <numRef>
              <f>'饭堂B-宵夜'!$C$2:$C$11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每日总销量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工作表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  <c r="F1" s="1" t="inlineStr">
        <is>
          <t>预测天数</t>
        </is>
      </c>
    </row>
    <row r="2">
      <c r="A2" t="inlineStr">
        <is>
          <t>饭堂A-早餐</t>
        </is>
      </c>
      <c r="B2" t="n">
        <v>48.86341552734375</v>
      </c>
      <c r="C2" t="n">
        <v>56.16044623034144</v>
      </c>
      <c r="D2" t="n">
        <v>5.809517777415487</v>
      </c>
      <c r="E2" t="n">
        <v>5.572701295355216</v>
      </c>
      <c r="F2" t="n">
        <v>10</v>
      </c>
    </row>
    <row r="3">
      <c r="A3" t="inlineStr">
        <is>
          <t>饭堂A-午餐</t>
        </is>
      </c>
      <c r="B3" t="n">
        <v>74.16142578125</v>
      </c>
      <c r="C3" t="n">
        <v>93.47518696810273</v>
      </c>
      <c r="D3" t="n">
        <v>5.18416347487142</v>
      </c>
      <c r="E3" t="n">
        <v>5.257052977256768</v>
      </c>
      <c r="F3" t="n">
        <v>10</v>
      </c>
    </row>
    <row r="4">
      <c r="A4" t="inlineStr">
        <is>
          <t>饭堂A-晚餐</t>
        </is>
      </c>
      <c r="B4" t="n">
        <v>94.00155639648438</v>
      </c>
      <c r="C4" t="n">
        <v>105.8630774278956</v>
      </c>
      <c r="D4" t="n">
        <v>8.804826167554392</v>
      </c>
      <c r="E4" t="n">
        <v>8.462531740152308</v>
      </c>
      <c r="F4" t="n">
        <v>10</v>
      </c>
    </row>
    <row r="5">
      <c r="A5" t="inlineStr">
        <is>
          <t>饭堂A-宵夜</t>
        </is>
      </c>
      <c r="B5" t="n">
        <v>27.69937744140625</v>
      </c>
      <c r="C5" t="n">
        <v>40.11796170513268</v>
      </c>
      <c r="D5" t="n">
        <v>6.716062587003998</v>
      </c>
      <c r="E5" t="n">
        <v>6.388648807219721</v>
      </c>
      <c r="F5" t="n">
        <v>10</v>
      </c>
    </row>
    <row r="6">
      <c r="A6" t="inlineStr">
        <is>
          <t>饭堂B-早餐</t>
        </is>
      </c>
      <c r="B6" t="n">
        <v>52.8248046875</v>
      </c>
      <c r="C6" t="n">
        <v>65.27448037103733</v>
      </c>
      <c r="D6" t="n">
        <v>6.114206196602366</v>
      </c>
      <c r="E6" t="n">
        <v>6.061960027106004</v>
      </c>
      <c r="F6" t="n">
        <v>10</v>
      </c>
    </row>
    <row r="7">
      <c r="A7" t="inlineStr">
        <is>
          <t>饭堂B-午餐</t>
        </is>
      </c>
      <c r="B7" t="n">
        <v>109.537744140625</v>
      </c>
      <c r="C7" t="n">
        <v>124.2017086076663</v>
      </c>
      <c r="D7" t="n">
        <v>8.671647757684529</v>
      </c>
      <c r="E7" t="n">
        <v>8.97801408833541</v>
      </c>
      <c r="F7" t="n">
        <v>10</v>
      </c>
    </row>
    <row r="8">
      <c r="A8" t="inlineStr">
        <is>
          <t>饭堂B-晚餐</t>
        </is>
      </c>
      <c r="B8" t="n">
        <v>50.29517211914062</v>
      </c>
      <c r="C8" t="n">
        <v>74.0426907694722</v>
      </c>
      <c r="D8" t="n">
        <v>6.738704955586469</v>
      </c>
      <c r="E8" t="n">
        <v>6.359767282325365</v>
      </c>
      <c r="F8" t="n">
        <v>10</v>
      </c>
    </row>
    <row r="9">
      <c r="A9" t="inlineStr">
        <is>
          <t>饭堂B-宵夜</t>
        </is>
      </c>
      <c r="B9" t="n">
        <v>45.17169799804687</v>
      </c>
      <c r="C9" t="n">
        <v>51.04671023075765</v>
      </c>
      <c r="D9" t="n">
        <v>14.58336080878544</v>
      </c>
      <c r="E9" t="n">
        <v>13.31101036224035</v>
      </c>
      <c r="F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实际销量</t>
        </is>
      </c>
      <c r="C1" s="1" t="inlineStr">
        <is>
          <t>预测销量（中位数）</t>
        </is>
      </c>
      <c r="D1" s="1" t="inlineStr">
        <is>
          <t>P10</t>
        </is>
      </c>
      <c r="E1" s="1" t="inlineStr">
        <is>
          <t>P90</t>
        </is>
      </c>
      <c r="F1" s="1" t="inlineStr">
        <is>
          <t>误差</t>
        </is>
      </c>
    </row>
    <row r="2">
      <c r="A2" s="2" t="n">
        <v>46285</v>
      </c>
      <c r="B2" s="3" t="n">
        <v>679</v>
      </c>
      <c r="C2" s="3" t="n">
        <v>733.6176147460938</v>
      </c>
      <c r="D2" s="3" t="n">
        <v>616.249267578125</v>
      </c>
      <c r="E2" s="3" t="n">
        <v>840.0402221679688</v>
      </c>
      <c r="F2" s="3" t="n">
        <v>54.61761474609375</v>
      </c>
    </row>
    <row r="3">
      <c r="A3" s="2" t="n">
        <v>46286</v>
      </c>
      <c r="B3" s="3" t="n">
        <v>1008</v>
      </c>
      <c r="C3" s="3" t="n">
        <v>1023.056762695312</v>
      </c>
      <c r="D3" s="3" t="n">
        <v>845.7764892578125</v>
      </c>
      <c r="E3" s="3" t="n">
        <v>1184.244384765625</v>
      </c>
      <c r="F3" s="3" t="n">
        <v>15.0567626953125</v>
      </c>
    </row>
    <row r="4">
      <c r="A4" s="2" t="n">
        <v>46287</v>
      </c>
      <c r="B4" s="3" t="n">
        <v>1076</v>
      </c>
      <c r="C4" s="3" t="n">
        <v>1060.04541015625</v>
      </c>
      <c r="D4" s="3" t="n">
        <v>921.3946533203125</v>
      </c>
      <c r="E4" s="3" t="n">
        <v>1183.238037109375</v>
      </c>
      <c r="F4" s="3" t="n">
        <v>-15.95458984375</v>
      </c>
    </row>
    <row r="5">
      <c r="A5" s="2" t="n">
        <v>46288</v>
      </c>
      <c r="B5" s="3" t="n">
        <v>1041</v>
      </c>
      <c r="C5" s="3" t="n">
        <v>1083.762939453125</v>
      </c>
      <c r="D5" s="3" t="n">
        <v>948.1474609375</v>
      </c>
      <c r="E5" s="3" t="n">
        <v>1199.50048828125</v>
      </c>
      <c r="F5" s="3" t="n">
        <v>42.762939453125</v>
      </c>
    </row>
    <row r="6">
      <c r="A6" s="2" t="n">
        <v>46289</v>
      </c>
      <c r="B6" s="3" t="n">
        <v>1037</v>
      </c>
      <c r="C6" s="3" t="n">
        <v>1094.626708984375</v>
      </c>
      <c r="D6" s="3" t="n">
        <v>948.842041015625</v>
      </c>
      <c r="E6" s="3" t="n">
        <v>1217.531860351562</v>
      </c>
      <c r="F6" s="3" t="n">
        <v>57.626708984375</v>
      </c>
    </row>
    <row r="7">
      <c r="A7" s="2" t="n">
        <v>46290</v>
      </c>
      <c r="B7" s="3" t="n">
        <v>1067</v>
      </c>
      <c r="C7" s="3" t="n">
        <v>1030.43603515625</v>
      </c>
      <c r="D7" s="3" t="n">
        <v>871.6519775390625</v>
      </c>
      <c r="E7" s="3" t="n">
        <v>1173.6162109375</v>
      </c>
      <c r="F7" s="3" t="n">
        <v>-36.56396484375</v>
      </c>
    </row>
    <row r="8">
      <c r="A8" s="2" t="n">
        <v>46291</v>
      </c>
      <c r="B8" s="3" t="n">
        <v>749</v>
      </c>
      <c r="C8" s="3" t="n">
        <v>770.8433227539062</v>
      </c>
      <c r="D8" s="3" t="n">
        <v>663.9595947265625</v>
      </c>
      <c r="E8" s="3" t="n">
        <v>909.2405395507812</v>
      </c>
      <c r="F8" s="3" t="n">
        <v>21.84332275390625</v>
      </c>
    </row>
    <row r="9">
      <c r="A9" s="2" t="n">
        <v>46292</v>
      </c>
      <c r="B9" s="3" t="n">
        <v>631</v>
      </c>
      <c r="C9" s="3" t="n">
        <v>740.3275146484375</v>
      </c>
      <c r="D9" s="3" t="n">
        <v>608.701171875</v>
      </c>
      <c r="E9" s="3" t="n">
        <v>878.192626953125</v>
      </c>
      <c r="F9" s="3" t="n">
        <v>109.3275146484375</v>
      </c>
    </row>
    <row r="10">
      <c r="A10" s="2" t="n">
        <v>46293</v>
      </c>
      <c r="B10" s="3" t="n">
        <v>965</v>
      </c>
      <c r="C10" s="3" t="n">
        <v>1038.059326171875</v>
      </c>
      <c r="D10" s="3" t="n">
        <v>806.9303588867188</v>
      </c>
      <c r="E10" s="3" t="n">
        <v>1221.0283203125</v>
      </c>
      <c r="F10" s="3" t="n">
        <v>73.059326171875</v>
      </c>
    </row>
    <row r="11">
      <c r="A11" s="2" t="n">
        <v>46294</v>
      </c>
      <c r="B11" s="3" t="n">
        <v>1002</v>
      </c>
      <c r="C11" s="3" t="n">
        <v>1063.821411132812</v>
      </c>
      <c r="D11" s="3" t="n">
        <v>869.9892578125</v>
      </c>
      <c r="E11" s="3" t="n">
        <v>1208.080078125</v>
      </c>
      <c r="F11" s="3" t="n">
        <v>61.8214111328125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实际销量</t>
        </is>
      </c>
      <c r="C1" s="1" t="inlineStr">
        <is>
          <t>预测销量（中位数）</t>
        </is>
      </c>
      <c r="D1" s="1" t="inlineStr">
        <is>
          <t>P10</t>
        </is>
      </c>
      <c r="E1" s="1" t="inlineStr">
        <is>
          <t>P90</t>
        </is>
      </c>
      <c r="F1" s="1" t="inlineStr">
        <is>
          <t>误差</t>
        </is>
      </c>
    </row>
    <row r="2">
      <c r="A2" s="2" t="n">
        <v>46285</v>
      </c>
      <c r="B2" s="3" t="n">
        <v>1031</v>
      </c>
      <c r="C2" s="3" t="n">
        <v>1028.127563476562</v>
      </c>
      <c r="D2" s="3" t="n">
        <v>873.8558349609375</v>
      </c>
      <c r="E2" s="3" t="n">
        <v>1168.64453125</v>
      </c>
      <c r="F2" s="3" t="n">
        <v>-2.8724365234375</v>
      </c>
    </row>
    <row r="3">
      <c r="A3" s="2" t="n">
        <v>46286</v>
      </c>
      <c r="B3" s="3" t="n">
        <v>1404</v>
      </c>
      <c r="C3" s="3" t="n">
        <v>1479.587158203125</v>
      </c>
      <c r="D3" s="3" t="n">
        <v>1318.068115234375</v>
      </c>
      <c r="E3" s="3" t="n">
        <v>1656.288452148438</v>
      </c>
      <c r="F3" s="3" t="n">
        <v>75.587158203125</v>
      </c>
    </row>
    <row r="4">
      <c r="A4" s="2" t="n">
        <v>46287</v>
      </c>
      <c r="B4" s="3" t="n">
        <v>1374</v>
      </c>
      <c r="C4" s="3" t="n">
        <v>1513.1552734375</v>
      </c>
      <c r="D4" s="3" t="n">
        <v>1381.239013671875</v>
      </c>
      <c r="E4" s="3" t="n">
        <v>1663.120361328125</v>
      </c>
      <c r="F4" s="3" t="n">
        <v>139.1552734375</v>
      </c>
    </row>
    <row r="5">
      <c r="A5" s="2" t="n">
        <v>46288</v>
      </c>
      <c r="B5" s="3" t="n">
        <v>1474</v>
      </c>
      <c r="C5" s="3" t="n">
        <v>1505.6064453125</v>
      </c>
      <c r="D5" s="3" t="n">
        <v>1370.043701171875</v>
      </c>
      <c r="E5" s="3" t="n">
        <v>1664.01806640625</v>
      </c>
      <c r="F5" s="3" t="n">
        <v>31.6064453125</v>
      </c>
    </row>
    <row r="6">
      <c r="A6" s="2" t="n">
        <v>46289</v>
      </c>
      <c r="B6" s="3" t="n">
        <v>1499</v>
      </c>
      <c r="C6" s="3" t="n">
        <v>1476.161376953125</v>
      </c>
      <c r="D6" s="3" t="n">
        <v>1334.2333984375</v>
      </c>
      <c r="E6" s="3" t="n">
        <v>1658.194213867188</v>
      </c>
      <c r="F6" s="3" t="n">
        <v>-22.838623046875</v>
      </c>
    </row>
    <row r="7">
      <c r="A7" s="2" t="n">
        <v>46290</v>
      </c>
      <c r="B7" s="3" t="n">
        <v>1594</v>
      </c>
      <c r="C7" s="3" t="n">
        <v>1396.966796875</v>
      </c>
      <c r="D7" s="3" t="n">
        <v>1250.599487304688</v>
      </c>
      <c r="E7" s="3" t="n">
        <v>1581.947998046875</v>
      </c>
      <c r="F7" s="3" t="n">
        <v>-197.033203125</v>
      </c>
    </row>
    <row r="8">
      <c r="A8" s="2" t="n">
        <v>46291</v>
      </c>
      <c r="B8" s="3" t="n">
        <v>1099</v>
      </c>
      <c r="C8" s="3" t="n">
        <v>1046.908813476562</v>
      </c>
      <c r="D8" s="3" t="n">
        <v>907.21875</v>
      </c>
      <c r="E8" s="3" t="n">
        <v>1235.341552734375</v>
      </c>
      <c r="F8" s="3" t="n">
        <v>-52.0911865234375</v>
      </c>
    </row>
    <row r="9">
      <c r="A9" s="2" t="n">
        <v>46292</v>
      </c>
      <c r="B9" s="3" t="n">
        <v>992</v>
      </c>
      <c r="C9" s="3" t="n">
        <v>963.4996337890625</v>
      </c>
      <c r="D9" s="3" t="n">
        <v>770.2522583007812</v>
      </c>
      <c r="E9" s="3" t="n">
        <v>1156.382568359375</v>
      </c>
      <c r="F9" s="3" t="n">
        <v>-28.5003662109375</v>
      </c>
    </row>
    <row r="10">
      <c r="A10" s="2" t="n">
        <v>46293</v>
      </c>
      <c r="B10" s="3" t="n">
        <v>1530</v>
      </c>
      <c r="C10" s="3" t="n">
        <v>1432.74072265625</v>
      </c>
      <c r="D10" s="3" t="n">
        <v>1218.78369140625</v>
      </c>
      <c r="E10" s="3" t="n">
        <v>1643.088745117188</v>
      </c>
      <c r="F10" s="3" t="n">
        <v>-97.25927734375</v>
      </c>
    </row>
    <row r="11">
      <c r="A11" s="2" t="n">
        <v>46294</v>
      </c>
      <c r="B11" s="3" t="n">
        <v>1564</v>
      </c>
      <c r="C11" s="3" t="n">
        <v>1469.329711914062</v>
      </c>
      <c r="D11" s="3" t="n">
        <v>1277.719848632812</v>
      </c>
      <c r="E11" s="3" t="n">
        <v>1652.93798828125</v>
      </c>
      <c r="F11" s="3" t="n">
        <v>-94.6702880859375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实际销量</t>
        </is>
      </c>
      <c r="C1" s="1" t="inlineStr">
        <is>
          <t>预测销量（中位数）</t>
        </is>
      </c>
      <c r="D1" s="1" t="inlineStr">
        <is>
          <t>P10</t>
        </is>
      </c>
      <c r="E1" s="1" t="inlineStr">
        <is>
          <t>P90</t>
        </is>
      </c>
      <c r="F1" s="1" t="inlineStr">
        <is>
          <t>误差</t>
        </is>
      </c>
    </row>
    <row r="2">
      <c r="A2" s="2" t="n">
        <v>46285</v>
      </c>
      <c r="B2" s="3" t="n">
        <v>904</v>
      </c>
      <c r="C2" s="3" t="n">
        <v>1008.192199707031</v>
      </c>
      <c r="D2" s="3" t="n">
        <v>817.003173828125</v>
      </c>
      <c r="E2" s="3" t="n">
        <v>1206.221313476562</v>
      </c>
      <c r="F2" s="3" t="n">
        <v>104.1921997070312</v>
      </c>
    </row>
    <row r="3">
      <c r="A3" s="2" t="n">
        <v>46286</v>
      </c>
      <c r="B3" s="3" t="n">
        <v>1224</v>
      </c>
      <c r="C3" s="3" t="n">
        <v>1199.535034179688</v>
      </c>
      <c r="D3" s="3" t="n">
        <v>924.252685546875</v>
      </c>
      <c r="E3" s="3" t="n">
        <v>1384.6748046875</v>
      </c>
      <c r="F3" s="3" t="n">
        <v>-24.4649658203125</v>
      </c>
    </row>
    <row r="4">
      <c r="A4" s="2" t="n">
        <v>46287</v>
      </c>
      <c r="B4" s="3" t="n">
        <v>1316</v>
      </c>
      <c r="C4" s="3" t="n">
        <v>1233.500732421875</v>
      </c>
      <c r="D4" s="3" t="n">
        <v>1063.41259765625</v>
      </c>
      <c r="E4" s="3" t="n">
        <v>1366.568481445312</v>
      </c>
      <c r="F4" s="3" t="n">
        <v>-82.499267578125</v>
      </c>
    </row>
    <row r="5">
      <c r="A5" s="2" t="n">
        <v>46288</v>
      </c>
      <c r="B5" s="3" t="n">
        <v>1223</v>
      </c>
      <c r="C5" s="3" t="n">
        <v>1274.950561523438</v>
      </c>
      <c r="D5" s="3" t="n">
        <v>1120.642333984375</v>
      </c>
      <c r="E5" s="3" t="n">
        <v>1389.654663085938</v>
      </c>
      <c r="F5" s="3" t="n">
        <v>51.9505615234375</v>
      </c>
    </row>
    <row r="6">
      <c r="A6" s="2" t="n">
        <v>46289</v>
      </c>
      <c r="B6" s="3" t="n">
        <v>1439</v>
      </c>
      <c r="C6" s="3" t="n">
        <v>1304.650756835938</v>
      </c>
      <c r="D6" s="3" t="n">
        <v>1131.99365234375</v>
      </c>
      <c r="E6" s="3" t="n">
        <v>1415.783325195312</v>
      </c>
      <c r="F6" s="3" t="n">
        <v>-134.3492431640625</v>
      </c>
    </row>
    <row r="7">
      <c r="A7" s="2" t="n">
        <v>46290</v>
      </c>
      <c r="B7" s="3" t="n">
        <v>1119</v>
      </c>
      <c r="C7" s="3" t="n">
        <v>1281.266967773438</v>
      </c>
      <c r="D7" s="3" t="n">
        <v>1042.834106445312</v>
      </c>
      <c r="E7" s="3" t="n">
        <v>1412.988891601562</v>
      </c>
      <c r="F7" s="3" t="n">
        <v>162.2669677734375</v>
      </c>
    </row>
    <row r="8">
      <c r="A8" s="2" t="n">
        <v>46291</v>
      </c>
      <c r="B8" s="3" t="n">
        <v>988</v>
      </c>
      <c r="C8" s="3" t="n">
        <v>947.645751953125</v>
      </c>
      <c r="D8" s="3" t="n">
        <v>826.9803466796875</v>
      </c>
      <c r="E8" s="3" t="n">
        <v>1131.8671875</v>
      </c>
      <c r="F8" s="3" t="n">
        <v>-40.354248046875</v>
      </c>
    </row>
    <row r="9">
      <c r="A9" s="2" t="n">
        <v>46292</v>
      </c>
      <c r="B9" s="3" t="n">
        <v>783</v>
      </c>
      <c r="C9" s="3" t="n">
        <v>944.4522705078125</v>
      </c>
      <c r="D9" s="3" t="n">
        <v>794.4796142578125</v>
      </c>
      <c r="E9" s="3" t="n">
        <v>1167.720336914062</v>
      </c>
      <c r="F9" s="3" t="n">
        <v>161.4522705078125</v>
      </c>
    </row>
    <row r="10">
      <c r="A10" s="2" t="n">
        <v>46293</v>
      </c>
      <c r="B10" s="3" t="n">
        <v>1106</v>
      </c>
      <c r="C10" s="3" t="n">
        <v>1234.652221679688</v>
      </c>
      <c r="D10" s="3" t="n">
        <v>906.0565795898438</v>
      </c>
      <c r="E10" s="3" t="n">
        <v>1420.464477539062</v>
      </c>
      <c r="F10" s="3" t="n">
        <v>128.6522216796875</v>
      </c>
    </row>
    <row r="11">
      <c r="A11" s="2" t="n">
        <v>46294</v>
      </c>
      <c r="B11" s="3" t="n">
        <v>1300</v>
      </c>
      <c r="C11" s="3" t="n">
        <v>1250.166381835938</v>
      </c>
      <c r="D11" s="3" t="n">
        <v>1005.484985351562</v>
      </c>
      <c r="E11" s="3" t="n">
        <v>1381.514526367188</v>
      </c>
      <c r="F11" s="3" t="n">
        <v>-49.8336181640625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实际销量</t>
        </is>
      </c>
      <c r="C1" s="1" t="inlineStr">
        <is>
          <t>预测销量（中位数）</t>
        </is>
      </c>
      <c r="D1" s="1" t="inlineStr">
        <is>
          <t>P10</t>
        </is>
      </c>
      <c r="E1" s="1" t="inlineStr">
        <is>
          <t>P90</t>
        </is>
      </c>
      <c r="F1" s="1" t="inlineStr">
        <is>
          <t>误差</t>
        </is>
      </c>
    </row>
    <row r="2">
      <c r="A2" s="2" t="n">
        <v>46285</v>
      </c>
      <c r="B2" s="3" t="n">
        <v>295</v>
      </c>
      <c r="C2" s="3" t="n">
        <v>296.5498046875</v>
      </c>
      <c r="D2" s="3" t="n">
        <v>231.2158050537109</v>
      </c>
      <c r="E2" s="3" t="n">
        <v>348.5585021972656</v>
      </c>
      <c r="F2" s="3" t="n">
        <v>1.5498046875</v>
      </c>
    </row>
    <row r="3">
      <c r="A3" s="2" t="n">
        <v>46286</v>
      </c>
      <c r="B3" s="3" t="n">
        <v>344</v>
      </c>
      <c r="C3" s="3" t="n">
        <v>451.8152160644531</v>
      </c>
      <c r="D3" s="3" t="n">
        <v>364.720458984375</v>
      </c>
      <c r="E3" s="3" t="n">
        <v>523.7335205078125</v>
      </c>
      <c r="F3" s="3" t="n">
        <v>107.8152160644531</v>
      </c>
    </row>
    <row r="4">
      <c r="A4" s="2" t="n">
        <v>46287</v>
      </c>
      <c r="B4" s="3" t="n">
        <v>526</v>
      </c>
      <c r="C4" s="3" t="n">
        <v>492.5911865234375</v>
      </c>
      <c r="D4" s="3" t="n">
        <v>428.1833801269531</v>
      </c>
      <c r="E4" s="3" t="n">
        <v>544.1243286132812</v>
      </c>
      <c r="F4" s="3" t="n">
        <v>-33.4088134765625</v>
      </c>
    </row>
    <row r="5">
      <c r="A5" s="2" t="n">
        <v>46288</v>
      </c>
      <c r="B5" s="3" t="n">
        <v>525</v>
      </c>
      <c r="C5" s="3" t="n">
        <v>492.0663146972656</v>
      </c>
      <c r="D5" s="3" t="n">
        <v>431.1084289550781</v>
      </c>
      <c r="E5" s="3" t="n">
        <v>541.2658081054688</v>
      </c>
      <c r="F5" s="3" t="n">
        <v>-32.93368530273438</v>
      </c>
    </row>
    <row r="6">
      <c r="A6" s="2" t="n">
        <v>46289</v>
      </c>
      <c r="B6" s="3" t="n">
        <v>505</v>
      </c>
      <c r="C6" s="3" t="n">
        <v>492.0670776367188</v>
      </c>
      <c r="D6" s="3" t="n">
        <v>424.925048828125</v>
      </c>
      <c r="E6" s="3" t="n">
        <v>546.89892578125</v>
      </c>
      <c r="F6" s="3" t="n">
        <v>-12.93292236328125</v>
      </c>
    </row>
    <row r="7">
      <c r="A7" s="2" t="n">
        <v>46290</v>
      </c>
      <c r="B7" s="3" t="n">
        <v>465</v>
      </c>
      <c r="C7" s="3" t="n">
        <v>472.3722839355469</v>
      </c>
      <c r="D7" s="3" t="n">
        <v>398.2034301757812</v>
      </c>
      <c r="E7" s="3" t="n">
        <v>532.8474731445312</v>
      </c>
      <c r="F7" s="3" t="n">
        <v>7.372283935546875</v>
      </c>
    </row>
    <row r="8">
      <c r="A8" s="2" t="n">
        <v>46291</v>
      </c>
      <c r="B8" s="3" t="n">
        <v>370</v>
      </c>
      <c r="C8" s="3" t="n">
        <v>342.4490966796875</v>
      </c>
      <c r="D8" s="3" t="n">
        <v>280.1480712890625</v>
      </c>
      <c r="E8" s="3" t="n">
        <v>409.1630554199219</v>
      </c>
      <c r="F8" s="3" t="n">
        <v>-27.5509033203125</v>
      </c>
    </row>
    <row r="9">
      <c r="A9" s="2" t="n">
        <v>46292</v>
      </c>
      <c r="B9" s="3" t="n">
        <v>292</v>
      </c>
      <c r="C9" s="3" t="n">
        <v>295.0619506835938</v>
      </c>
      <c r="D9" s="3" t="n">
        <v>216.2770690917969</v>
      </c>
      <c r="E9" s="3" t="n">
        <v>370.9589233398438</v>
      </c>
      <c r="F9" s="3" t="n">
        <v>3.06195068359375</v>
      </c>
    </row>
    <row r="10">
      <c r="A10" s="2" t="n">
        <v>46293</v>
      </c>
      <c r="B10" s="3" t="n">
        <v>487</v>
      </c>
      <c r="C10" s="3" t="n">
        <v>463.9007263183594</v>
      </c>
      <c r="D10" s="3" t="n">
        <v>346.1802978515625</v>
      </c>
      <c r="E10" s="3" t="n">
        <v>550.6581420898438</v>
      </c>
      <c r="F10" s="3" t="n">
        <v>-23.09927368164062</v>
      </c>
    </row>
    <row r="11">
      <c r="A11" s="2" t="n">
        <v>46294</v>
      </c>
      <c r="B11" s="3" t="n">
        <v>516</v>
      </c>
      <c r="C11" s="3" t="n">
        <v>488.7310791015625</v>
      </c>
      <c r="D11" s="3" t="n">
        <v>393.835205078125</v>
      </c>
      <c r="E11" s="3" t="n">
        <v>550.6585083007812</v>
      </c>
      <c r="F11" s="3" t="n">
        <v>-27.2689208984375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实际销量</t>
        </is>
      </c>
      <c r="C1" s="1" t="inlineStr">
        <is>
          <t>预测销量（中位数）</t>
        </is>
      </c>
      <c r="D1" s="1" t="inlineStr">
        <is>
          <t>P10</t>
        </is>
      </c>
      <c r="E1" s="1" t="inlineStr">
        <is>
          <t>P90</t>
        </is>
      </c>
      <c r="F1" s="1" t="inlineStr">
        <is>
          <t>误差</t>
        </is>
      </c>
    </row>
    <row r="2">
      <c r="A2" s="2" t="n">
        <v>46285</v>
      </c>
      <c r="B2" s="3" t="n">
        <v>620</v>
      </c>
      <c r="C2" s="3" t="n">
        <v>643.495849609375</v>
      </c>
      <c r="D2" s="3" t="n">
        <v>571.1177978515625</v>
      </c>
      <c r="E2" s="3" t="n">
        <v>697.7626953125</v>
      </c>
      <c r="F2" s="3" t="n">
        <v>23.495849609375</v>
      </c>
    </row>
    <row r="3">
      <c r="A3" s="2" t="n">
        <v>46286</v>
      </c>
      <c r="B3" s="3" t="n">
        <v>888</v>
      </c>
      <c r="C3" s="3" t="n">
        <v>1012.001342773438</v>
      </c>
      <c r="D3" s="3" t="n">
        <v>897.0423583984375</v>
      </c>
      <c r="E3" s="3" t="n">
        <v>1094.68310546875</v>
      </c>
      <c r="F3" s="3" t="n">
        <v>124.0013427734375</v>
      </c>
    </row>
    <row r="4">
      <c r="A4" s="2" t="n">
        <v>46287</v>
      </c>
      <c r="B4" s="3" t="n">
        <v>1038</v>
      </c>
      <c r="C4" s="3" t="n">
        <v>994.7989501953125</v>
      </c>
      <c r="D4" s="3" t="n">
        <v>917.5621337890625</v>
      </c>
      <c r="E4" s="3" t="n">
        <v>1066.960327148438</v>
      </c>
      <c r="F4" s="3" t="n">
        <v>-43.2010498046875</v>
      </c>
    </row>
    <row r="5">
      <c r="A5" s="2" t="n">
        <v>46288</v>
      </c>
      <c r="B5" s="3" t="n">
        <v>926</v>
      </c>
      <c r="C5" s="3" t="n">
        <v>939.1416625976562</v>
      </c>
      <c r="D5" s="3" t="n">
        <v>869.041259765625</v>
      </c>
      <c r="E5" s="3" t="n">
        <v>1012.812866210938</v>
      </c>
      <c r="F5" s="3" t="n">
        <v>13.14166259765625</v>
      </c>
    </row>
    <row r="6">
      <c r="A6" s="2" t="n">
        <v>46289</v>
      </c>
      <c r="B6" s="3" t="n">
        <v>967</v>
      </c>
      <c r="C6" s="3" t="n">
        <v>905.4602661132812</v>
      </c>
      <c r="D6" s="3" t="n">
        <v>825.4151000976562</v>
      </c>
      <c r="E6" s="3" t="n">
        <v>993.8990478515625</v>
      </c>
      <c r="F6" s="3" t="n">
        <v>-61.53973388671875</v>
      </c>
    </row>
    <row r="7">
      <c r="A7" s="2" t="n">
        <v>46290</v>
      </c>
      <c r="B7" s="3" t="n">
        <v>900</v>
      </c>
      <c r="C7" s="3" t="n">
        <v>845.95703125</v>
      </c>
      <c r="D7" s="3" t="n">
        <v>759.8539428710938</v>
      </c>
      <c r="E7" s="3" t="n">
        <v>925.5092163085938</v>
      </c>
      <c r="F7" s="3" t="n">
        <v>-54.04296875</v>
      </c>
    </row>
    <row r="8">
      <c r="A8" s="2" t="n">
        <v>46291</v>
      </c>
      <c r="B8" s="3" t="n">
        <v>770</v>
      </c>
      <c r="C8" s="3" t="n">
        <v>683.759033203125</v>
      </c>
      <c r="D8" s="3" t="n">
        <v>606.11083984375</v>
      </c>
      <c r="E8" s="3" t="n">
        <v>771.1505126953125</v>
      </c>
      <c r="F8" s="3" t="n">
        <v>-86.240966796875</v>
      </c>
    </row>
    <row r="9">
      <c r="A9" s="2" t="n">
        <v>46292</v>
      </c>
      <c r="B9" s="3" t="n">
        <v>651</v>
      </c>
      <c r="C9" s="3" t="n">
        <v>647.603271484375</v>
      </c>
      <c r="D9" s="3" t="n">
        <v>541.2074584960938</v>
      </c>
      <c r="E9" s="3" t="n">
        <v>738.9970092773438</v>
      </c>
      <c r="F9" s="3" t="n">
        <v>-3.396728515625</v>
      </c>
    </row>
    <row r="10">
      <c r="A10" s="2" t="n">
        <v>46293</v>
      </c>
      <c r="B10" s="3" t="n">
        <v>989</v>
      </c>
      <c r="C10" s="3" t="n">
        <v>1007.481384277344</v>
      </c>
      <c r="D10" s="3" t="n">
        <v>800.0572509765625</v>
      </c>
      <c r="E10" s="3" t="n">
        <v>1112.461181640625</v>
      </c>
      <c r="F10" s="3" t="n">
        <v>18.48138427734375</v>
      </c>
    </row>
    <row r="11">
      <c r="A11" s="2" t="n">
        <v>46294</v>
      </c>
      <c r="B11" s="3" t="n">
        <v>850</v>
      </c>
      <c r="C11" s="3" t="n">
        <v>950.7063598632812</v>
      </c>
      <c r="D11" s="3" t="n">
        <v>818.2745971679688</v>
      </c>
      <c r="E11" s="3" t="n">
        <v>1047.009155273438</v>
      </c>
      <c r="F11" s="3" t="n">
        <v>100.7063598632812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实际销量</t>
        </is>
      </c>
      <c r="C1" s="1" t="inlineStr">
        <is>
          <t>预测销量（中位数）</t>
        </is>
      </c>
      <c r="D1" s="1" t="inlineStr">
        <is>
          <t>P10</t>
        </is>
      </c>
      <c r="E1" s="1" t="inlineStr">
        <is>
          <t>P90</t>
        </is>
      </c>
      <c r="F1" s="1" t="inlineStr">
        <is>
          <t>误差</t>
        </is>
      </c>
    </row>
    <row r="2">
      <c r="A2" s="2" t="n">
        <v>46285</v>
      </c>
      <c r="B2" s="3" t="n">
        <v>945</v>
      </c>
      <c r="C2" s="3" t="n">
        <v>877.126220703125</v>
      </c>
      <c r="D2" s="3" t="n">
        <v>779.0677490234375</v>
      </c>
      <c r="E2" s="3" t="n">
        <v>966.3350219726562</v>
      </c>
      <c r="F2" s="3" t="n">
        <v>-67.873779296875</v>
      </c>
    </row>
    <row r="3">
      <c r="A3" s="2" t="n">
        <v>46286</v>
      </c>
      <c r="B3" s="3" t="n">
        <v>1453</v>
      </c>
      <c r="C3" s="3" t="n">
        <v>1193.680786132812</v>
      </c>
      <c r="D3" s="3" t="n">
        <v>951.60400390625</v>
      </c>
      <c r="E3" s="3" t="n">
        <v>1373.2109375</v>
      </c>
      <c r="F3" s="3" t="n">
        <v>-259.3192138671875</v>
      </c>
    </row>
    <row r="4">
      <c r="A4" s="2" t="n">
        <v>46287</v>
      </c>
      <c r="B4" s="3" t="n">
        <v>1407</v>
      </c>
      <c r="C4" s="3" t="n">
        <v>1337.706420898438</v>
      </c>
      <c r="D4" s="3" t="n">
        <v>1179.611450195312</v>
      </c>
      <c r="E4" s="3" t="n">
        <v>1440.124389648438</v>
      </c>
      <c r="F4" s="3" t="n">
        <v>-69.2935791015625</v>
      </c>
    </row>
    <row r="5">
      <c r="A5" s="2" t="n">
        <v>46288</v>
      </c>
      <c r="B5" s="3" t="n">
        <v>1456</v>
      </c>
      <c r="C5" s="3" t="n">
        <v>1324.815673828125</v>
      </c>
      <c r="D5" s="3" t="n">
        <v>1194.6943359375</v>
      </c>
      <c r="E5" s="3" t="n">
        <v>1422.348266601562</v>
      </c>
      <c r="F5" s="3" t="n">
        <v>-131.184326171875</v>
      </c>
    </row>
    <row r="6">
      <c r="A6" s="2" t="n">
        <v>46289</v>
      </c>
      <c r="B6" s="3" t="n">
        <v>1434</v>
      </c>
      <c r="C6" s="3" t="n">
        <v>1311.260009765625</v>
      </c>
      <c r="D6" s="3" t="n">
        <v>1171.260620117188</v>
      </c>
      <c r="E6" s="3" t="n">
        <v>1422.772094726562</v>
      </c>
      <c r="F6" s="3" t="n">
        <v>-122.739990234375</v>
      </c>
    </row>
    <row r="7">
      <c r="A7" s="2" t="n">
        <v>46290</v>
      </c>
      <c r="B7" s="3" t="n">
        <v>1380</v>
      </c>
      <c r="C7" s="3" t="n">
        <v>1263.325805664062</v>
      </c>
      <c r="D7" s="3" t="n">
        <v>1105.593017578125</v>
      </c>
      <c r="E7" s="3" t="n">
        <v>1381.204956054688</v>
      </c>
      <c r="F7" s="3" t="n">
        <v>-116.6741943359375</v>
      </c>
    </row>
    <row r="8">
      <c r="A8" s="2" t="n">
        <v>46291</v>
      </c>
      <c r="B8" s="3" t="n">
        <v>947</v>
      </c>
      <c r="C8" s="3" t="n">
        <v>980.2802734375</v>
      </c>
      <c r="D8" s="3" t="n">
        <v>866.1884765625</v>
      </c>
      <c r="E8" s="3" t="n">
        <v>1097.875366210938</v>
      </c>
      <c r="F8" s="3" t="n">
        <v>33.2802734375</v>
      </c>
    </row>
    <row r="9">
      <c r="A9" s="2" t="n">
        <v>46292</v>
      </c>
      <c r="B9" s="3" t="n">
        <v>776</v>
      </c>
      <c r="C9" s="3" t="n">
        <v>876.1593017578125</v>
      </c>
      <c r="D9" s="3" t="n">
        <v>764.5673828125</v>
      </c>
      <c r="E9" s="3" t="n">
        <v>996.526611328125</v>
      </c>
      <c r="F9" s="3" t="n">
        <v>100.1593017578125</v>
      </c>
    </row>
    <row r="10">
      <c r="A10" s="2" t="n">
        <v>46293</v>
      </c>
      <c r="B10" s="3" t="n">
        <v>1343</v>
      </c>
      <c r="C10" s="3" t="n">
        <v>1217.33203125</v>
      </c>
      <c r="D10" s="3" t="n">
        <v>930.572998046875</v>
      </c>
      <c r="E10" s="3" t="n">
        <v>1421.991943359375</v>
      </c>
      <c r="F10" s="3" t="n">
        <v>-125.66796875</v>
      </c>
    </row>
    <row r="11">
      <c r="A11" s="2" t="n">
        <v>46294</v>
      </c>
      <c r="B11" s="3" t="n">
        <v>1395</v>
      </c>
      <c r="C11" s="3" t="n">
        <v>1325.815185546875</v>
      </c>
      <c r="D11" s="3" t="n">
        <v>1108.313720703125</v>
      </c>
      <c r="E11" s="3" t="n">
        <v>1455.47314453125</v>
      </c>
      <c r="F11" s="3" t="n">
        <v>-69.184814453125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实际销量</t>
        </is>
      </c>
      <c r="C1" s="1" t="inlineStr">
        <is>
          <t>预测销量（中位数）</t>
        </is>
      </c>
      <c r="D1" s="1" t="inlineStr">
        <is>
          <t>P10</t>
        </is>
      </c>
      <c r="E1" s="1" t="inlineStr">
        <is>
          <t>P90</t>
        </is>
      </c>
      <c r="F1" s="1" t="inlineStr">
        <is>
          <t>误差</t>
        </is>
      </c>
    </row>
    <row r="2">
      <c r="A2" s="2" t="n">
        <v>46285</v>
      </c>
      <c r="B2" s="3" t="n">
        <v>580</v>
      </c>
      <c r="C2" s="3" t="n">
        <v>657.1670532226562</v>
      </c>
      <c r="D2" s="3" t="n">
        <v>568.1812744140625</v>
      </c>
      <c r="E2" s="3" t="n">
        <v>747.606201171875</v>
      </c>
      <c r="F2" s="3" t="n">
        <v>77.16705322265625</v>
      </c>
    </row>
    <row r="3">
      <c r="A3" s="2" t="n">
        <v>46286</v>
      </c>
      <c r="B3" s="3" t="n">
        <v>902</v>
      </c>
      <c r="C3" s="3" t="n">
        <v>875.9444580078125</v>
      </c>
      <c r="D3" s="3" t="n">
        <v>737.137451171875</v>
      </c>
      <c r="E3" s="3" t="n">
        <v>1045.290771484375</v>
      </c>
      <c r="F3" s="3" t="n">
        <v>-26.0555419921875</v>
      </c>
    </row>
    <row r="4">
      <c r="A4" s="2" t="n">
        <v>46287</v>
      </c>
      <c r="B4" s="3" t="n">
        <v>811</v>
      </c>
      <c r="C4" s="3" t="n">
        <v>988.0957641601562</v>
      </c>
      <c r="D4" s="3" t="n">
        <v>859.8639526367188</v>
      </c>
      <c r="E4" s="3" t="n">
        <v>1131.363525390625</v>
      </c>
      <c r="F4" s="3" t="n">
        <v>177.0957641601562</v>
      </c>
    </row>
    <row r="5">
      <c r="A5" s="2" t="n">
        <v>46288</v>
      </c>
      <c r="B5" s="3" t="n">
        <v>1000</v>
      </c>
      <c r="C5" s="3" t="n">
        <v>1022.3984375</v>
      </c>
      <c r="D5" s="3" t="n">
        <v>884.4102172851562</v>
      </c>
      <c r="E5" s="3" t="n">
        <v>1156.827392578125</v>
      </c>
      <c r="F5" s="3" t="n">
        <v>22.3984375</v>
      </c>
    </row>
    <row r="6">
      <c r="A6" s="2" t="n">
        <v>46289</v>
      </c>
      <c r="B6" s="3" t="n">
        <v>1033</v>
      </c>
      <c r="C6" s="3" t="n">
        <v>1036.902099609375</v>
      </c>
      <c r="D6" s="3" t="n">
        <v>886.944091796875</v>
      </c>
      <c r="E6" s="3" t="n">
        <v>1184.066040039062</v>
      </c>
      <c r="F6" s="3" t="n">
        <v>3.902099609375</v>
      </c>
    </row>
    <row r="7">
      <c r="A7" s="2" t="n">
        <v>46290</v>
      </c>
      <c r="B7" s="3" t="n">
        <v>1004</v>
      </c>
      <c r="C7" s="3" t="n">
        <v>1018.713012695312</v>
      </c>
      <c r="D7" s="3" t="n">
        <v>833.6873168945312</v>
      </c>
      <c r="E7" s="3" t="n">
        <v>1166.541015625</v>
      </c>
      <c r="F7" s="3" t="n">
        <v>14.7130126953125</v>
      </c>
    </row>
    <row r="8">
      <c r="A8" s="2" t="n">
        <v>46291</v>
      </c>
      <c r="B8" s="3" t="n">
        <v>714</v>
      </c>
      <c r="C8" s="3" t="n">
        <v>713.1661987304688</v>
      </c>
      <c r="D8" s="3" t="n">
        <v>608.1341552734375</v>
      </c>
      <c r="E8" s="3" t="n">
        <v>855.8824462890625</v>
      </c>
      <c r="F8" s="3" t="n">
        <v>-0.83380126953125</v>
      </c>
    </row>
    <row r="9">
      <c r="A9" s="2" t="n">
        <v>46292</v>
      </c>
      <c r="B9" s="3" t="n">
        <v>571</v>
      </c>
      <c r="C9" s="3" t="n">
        <v>663.6904907226562</v>
      </c>
      <c r="D9" s="3" t="n">
        <v>536.9447021484375</v>
      </c>
      <c r="E9" s="3" t="n">
        <v>803.8965454101562</v>
      </c>
      <c r="F9" s="3" t="n">
        <v>92.69049072265625</v>
      </c>
    </row>
    <row r="10">
      <c r="A10" s="2" t="n">
        <v>46293</v>
      </c>
      <c r="B10" s="3" t="n">
        <v>987</v>
      </c>
      <c r="C10" s="3" t="n">
        <v>900.4044799804688</v>
      </c>
      <c r="D10" s="3" t="n">
        <v>704.7992553710938</v>
      </c>
      <c r="E10" s="3" t="n">
        <v>1103.612182617188</v>
      </c>
      <c r="F10" s="3" t="n">
        <v>-86.59552001953125</v>
      </c>
    </row>
    <row r="11">
      <c r="A11" s="2" t="n">
        <v>46294</v>
      </c>
      <c r="B11" s="3" t="n">
        <v>996</v>
      </c>
      <c r="C11" s="3" t="n">
        <v>997.5</v>
      </c>
      <c r="D11" s="3" t="n">
        <v>797.4255981445312</v>
      </c>
      <c r="E11" s="3" t="n">
        <v>1167.66064453125</v>
      </c>
      <c r="F11" s="3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实际销量</t>
        </is>
      </c>
      <c r="C1" s="1" t="inlineStr">
        <is>
          <t>预测销量（中位数）</t>
        </is>
      </c>
      <c r="D1" s="1" t="inlineStr">
        <is>
          <t>P10</t>
        </is>
      </c>
      <c r="E1" s="1" t="inlineStr">
        <is>
          <t>P90</t>
        </is>
      </c>
      <c r="F1" s="1" t="inlineStr">
        <is>
          <t>误差</t>
        </is>
      </c>
    </row>
    <row r="2">
      <c r="A2" s="2" t="n">
        <v>46285</v>
      </c>
      <c r="B2" s="3" t="n">
        <v>245</v>
      </c>
      <c r="C2" s="3" t="n">
        <v>287.1786193847656</v>
      </c>
      <c r="D2" s="3" t="n">
        <v>238.4783935546875</v>
      </c>
      <c r="E2" s="3" t="n">
        <v>328.4606628417969</v>
      </c>
      <c r="F2" s="3" t="n">
        <v>42.17861938476562</v>
      </c>
    </row>
    <row r="3">
      <c r="A3" s="2" t="n">
        <v>46286</v>
      </c>
      <c r="B3" s="3" t="n">
        <v>325</v>
      </c>
      <c r="C3" s="3" t="n">
        <v>403.4315185546875</v>
      </c>
      <c r="D3" s="3" t="n">
        <v>327.0046997070312</v>
      </c>
      <c r="E3" s="3" t="n">
        <v>462.9923400878906</v>
      </c>
      <c r="F3" s="3" t="n">
        <v>78.4315185546875</v>
      </c>
    </row>
    <row r="4">
      <c r="A4" s="2" t="n">
        <v>46287</v>
      </c>
      <c r="B4" s="3" t="n">
        <v>387</v>
      </c>
      <c r="C4" s="3" t="n">
        <v>433.0390930175781</v>
      </c>
      <c r="D4" s="3" t="n">
        <v>375.5821533203125</v>
      </c>
      <c r="E4" s="3" t="n">
        <v>477.5613403320312</v>
      </c>
      <c r="F4" s="3" t="n">
        <v>46.03909301757812</v>
      </c>
    </row>
    <row r="5">
      <c r="A5" s="2" t="n">
        <v>46288</v>
      </c>
      <c r="B5" s="3" t="n">
        <v>356</v>
      </c>
      <c r="C5" s="3" t="n">
        <v>432.0814514160156</v>
      </c>
      <c r="D5" s="3" t="n">
        <v>377.708740234375</v>
      </c>
      <c r="E5" s="3" t="n">
        <v>475.4622497558594</v>
      </c>
      <c r="F5" s="3" t="n">
        <v>76.08145141601562</v>
      </c>
    </row>
    <row r="6">
      <c r="A6" s="2" t="n">
        <v>46289</v>
      </c>
      <c r="B6" s="3" t="n">
        <v>421</v>
      </c>
      <c r="C6" s="3" t="n">
        <v>421.2823181152344</v>
      </c>
      <c r="D6" s="3" t="n">
        <v>362.8491821289062</v>
      </c>
      <c r="E6" s="3" t="n">
        <v>473.01708984375</v>
      </c>
      <c r="F6" s="3" t="n">
        <v>0.282318115234375</v>
      </c>
    </row>
    <row r="7">
      <c r="A7" s="2" t="n">
        <v>46290</v>
      </c>
      <c r="B7" s="3" t="n">
        <v>345</v>
      </c>
      <c r="C7" s="3" t="n">
        <v>397.0975952148438</v>
      </c>
      <c r="D7" s="3" t="n">
        <v>332.5636596679688</v>
      </c>
      <c r="E7" s="3" t="n">
        <v>452.1249389648438</v>
      </c>
      <c r="F7" s="3" t="n">
        <v>52.09759521484375</v>
      </c>
    </row>
    <row r="8">
      <c r="A8" s="2" t="n">
        <v>46291</v>
      </c>
      <c r="B8" s="3" t="n">
        <v>285</v>
      </c>
      <c r="C8" s="3" t="n">
        <v>320.46533203125</v>
      </c>
      <c r="D8" s="3" t="n">
        <v>263.06884765625</v>
      </c>
      <c r="E8" s="3" t="n">
        <v>379.5264282226562</v>
      </c>
      <c r="F8" s="3" t="n">
        <v>35.46533203125</v>
      </c>
    </row>
    <row r="9">
      <c r="A9" s="2" t="n">
        <v>46292</v>
      </c>
      <c r="B9" s="3" t="n">
        <v>228</v>
      </c>
      <c r="C9" s="3" t="n">
        <v>292.0774230957031</v>
      </c>
      <c r="D9" s="3" t="n">
        <v>223.9013366699219</v>
      </c>
      <c r="E9" s="3" t="n">
        <v>354.8121032714844</v>
      </c>
      <c r="F9" s="3" t="n">
        <v>64.07742309570312</v>
      </c>
    </row>
    <row r="10">
      <c r="A10" s="2" t="n">
        <v>46293</v>
      </c>
      <c r="B10" s="3" t="n">
        <v>357</v>
      </c>
      <c r="C10" s="3" t="n">
        <v>401.5484924316406</v>
      </c>
      <c r="D10" s="3" t="n">
        <v>299.4287719726562</v>
      </c>
      <c r="E10" s="3" t="n">
        <v>473.3436889648438</v>
      </c>
      <c r="F10" s="3" t="n">
        <v>44.54849243164062</v>
      </c>
    </row>
    <row r="11">
      <c r="A11" s="2" t="n">
        <v>46294</v>
      </c>
      <c r="B11" s="3" t="n">
        <v>414</v>
      </c>
      <c r="C11" s="3" t="n">
        <v>426.51513671875</v>
      </c>
      <c r="D11" s="3" t="n">
        <v>338.9721374511719</v>
      </c>
      <c r="E11" s="3" t="n">
        <v>483.4032287597656</v>
      </c>
      <c r="F11" s="3" t="n">
        <v>12.51513671875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2026-09-30T16:41:31Z</dcterms:created>
  <dcterms:modified xsi:type="dcterms:W3CDTF">2026-09-30T16:41:31Z</dcterms:modified>
</cp:coreProperties>
</file>